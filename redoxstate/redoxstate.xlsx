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hrs\GoogleDrive\GitHub\res-tools\redoxstate\"/>
    </mc:Choice>
  </mc:AlternateContent>
  <xr:revisionPtr revIDLastSave="0" documentId="13_ncr:1_{F98143D5-B619-4B02-AE0F-38BCC6C3261C}" xr6:coauthVersionLast="45" xr6:coauthVersionMax="45" xr10:uidLastSave="{00000000-0000-0000-0000-000000000000}"/>
  <bookViews>
    <workbookView xWindow="-108" yWindow="-108" windowWidth="23256" windowHeight="12576" xr2:uid="{E4E43E98-8FD7-4C2D-B70A-7B646737E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Q5" i="1" l="1"/>
  <c r="AQ6" i="1"/>
  <c r="AQ7" i="1"/>
  <c r="AQ8" i="1"/>
  <c r="AQ9" i="1"/>
  <c r="AQ10" i="1"/>
  <c r="AQ11" i="1"/>
  <c r="AQ12" i="1"/>
  <c r="AQ13" i="1"/>
  <c r="AQ14" i="1"/>
  <c r="AQ4" i="1"/>
  <c r="AR5" i="1"/>
  <c r="AR6" i="1"/>
  <c r="AR7" i="1"/>
  <c r="AR8" i="1"/>
  <c r="AR9" i="1"/>
  <c r="AR10" i="1"/>
  <c r="AR11" i="1"/>
  <c r="AR12" i="1"/>
  <c r="AR13" i="1"/>
  <c r="AR14" i="1"/>
  <c r="AR4" i="1"/>
  <c r="AP5" i="1"/>
  <c r="AP6" i="1"/>
  <c r="AP7" i="1"/>
  <c r="AP8" i="1"/>
  <c r="AP9" i="1"/>
  <c r="AP10" i="1"/>
  <c r="AP11" i="1"/>
  <c r="AP12" i="1"/>
  <c r="AP13" i="1"/>
  <c r="AP14" i="1"/>
  <c r="AP4" i="1"/>
  <c r="AO5" i="1"/>
  <c r="AO6" i="1"/>
  <c r="AO7" i="1"/>
  <c r="AO8" i="1"/>
  <c r="AO9" i="1"/>
  <c r="AO10" i="1"/>
  <c r="AO11" i="1"/>
  <c r="AO12" i="1"/>
  <c r="AO13" i="1"/>
  <c r="AO14" i="1"/>
  <c r="AO4" i="1"/>
  <c r="AJ5" i="1"/>
  <c r="AJ6" i="1"/>
  <c r="AJ7" i="1"/>
  <c r="AJ8" i="1"/>
  <c r="AJ9" i="1"/>
  <c r="AJ10" i="1"/>
  <c r="AJ11" i="1"/>
  <c r="AJ12" i="1"/>
  <c r="AJ13" i="1"/>
  <c r="AJ14" i="1"/>
  <c r="AJ4" i="1"/>
  <c r="AI5" i="1"/>
  <c r="AI6" i="1"/>
  <c r="AI7" i="1"/>
  <c r="AI8" i="1"/>
  <c r="AI9" i="1"/>
  <c r="AI10" i="1"/>
  <c r="AI11" i="1"/>
  <c r="AI12" i="1"/>
  <c r="AI13" i="1"/>
  <c r="AI14" i="1"/>
  <c r="AI4" i="1"/>
  <c r="AG5" i="1"/>
  <c r="AG6" i="1"/>
  <c r="AG7" i="1"/>
  <c r="AG8" i="1"/>
  <c r="AG9" i="1"/>
  <c r="AG10" i="1"/>
  <c r="AG11" i="1"/>
  <c r="AG12" i="1"/>
  <c r="AG13" i="1"/>
  <c r="AG14" i="1"/>
  <c r="AG4" i="1"/>
  <c r="Y4" i="1"/>
  <c r="Z4" i="1"/>
  <c r="AA4" i="1"/>
  <c r="AB4" i="1"/>
  <c r="AC4" i="1"/>
  <c r="AD4" i="1"/>
  <c r="AE4" i="1"/>
  <c r="AF4" i="1"/>
  <c r="Y5" i="1"/>
  <c r="Z5" i="1"/>
  <c r="AA5" i="1"/>
  <c r="AB5" i="1"/>
  <c r="AC5" i="1"/>
  <c r="AD5" i="1"/>
  <c r="AE5" i="1"/>
  <c r="AF5" i="1"/>
  <c r="Y6" i="1"/>
  <c r="Z6" i="1"/>
  <c r="AA6" i="1"/>
  <c r="AB6" i="1"/>
  <c r="AC6" i="1"/>
  <c r="AD6" i="1"/>
  <c r="AE6" i="1"/>
  <c r="AF6" i="1"/>
  <c r="Y7" i="1"/>
  <c r="Z7" i="1"/>
  <c r="AA7" i="1"/>
  <c r="AB7" i="1"/>
  <c r="AC7" i="1"/>
  <c r="AD7" i="1"/>
  <c r="AE7" i="1"/>
  <c r="AF7" i="1"/>
  <c r="Y8" i="1"/>
  <c r="Z8" i="1"/>
  <c r="AA8" i="1"/>
  <c r="AB8" i="1"/>
  <c r="AC8" i="1"/>
  <c r="AD8" i="1"/>
  <c r="AE8" i="1"/>
  <c r="AF8" i="1"/>
  <c r="Y9" i="1"/>
  <c r="Z9" i="1"/>
  <c r="AA9" i="1"/>
  <c r="AB9" i="1"/>
  <c r="AC9" i="1"/>
  <c r="AD9" i="1"/>
  <c r="AE9" i="1"/>
  <c r="AF9" i="1"/>
  <c r="Y10" i="1"/>
  <c r="Z10" i="1"/>
  <c r="AA10" i="1"/>
  <c r="AB10" i="1"/>
  <c r="AC10" i="1"/>
  <c r="AD10" i="1"/>
  <c r="AE10" i="1"/>
  <c r="AF10" i="1"/>
  <c r="Y11" i="1"/>
  <c r="Z11" i="1"/>
  <c r="AA11" i="1"/>
  <c r="AB11" i="1"/>
  <c r="AC11" i="1"/>
  <c r="AD11" i="1"/>
  <c r="AE11" i="1"/>
  <c r="AF11" i="1"/>
  <c r="Y12" i="1"/>
  <c r="Z12" i="1"/>
  <c r="AA12" i="1"/>
  <c r="AB12" i="1"/>
  <c r="AC12" i="1"/>
  <c r="AD12" i="1"/>
  <c r="AE12" i="1"/>
  <c r="AF12" i="1"/>
  <c r="Y13" i="1"/>
  <c r="Z13" i="1"/>
  <c r="AA13" i="1"/>
  <c r="AB13" i="1"/>
  <c r="AC13" i="1"/>
  <c r="AD13" i="1"/>
  <c r="AE13" i="1"/>
  <c r="AF13" i="1"/>
  <c r="Y14" i="1"/>
  <c r="Z14" i="1"/>
  <c r="AA14" i="1"/>
  <c r="AB14" i="1"/>
  <c r="AC14" i="1"/>
  <c r="AD14" i="1"/>
  <c r="AE14" i="1"/>
  <c r="AF14" i="1"/>
  <c r="X5" i="1"/>
  <c r="X6" i="1"/>
  <c r="X7" i="1"/>
  <c r="X8" i="1"/>
  <c r="X9" i="1"/>
  <c r="X10" i="1"/>
  <c r="X11" i="1"/>
  <c r="X12" i="1"/>
  <c r="X13" i="1"/>
  <c r="X14" i="1"/>
  <c r="X4" i="1"/>
  <c r="V5" i="1"/>
  <c r="V6" i="1"/>
  <c r="V7" i="1"/>
  <c r="V8" i="1"/>
  <c r="V9" i="1"/>
  <c r="V10" i="1"/>
  <c r="V11" i="1"/>
  <c r="V12" i="1"/>
  <c r="V13" i="1"/>
  <c r="V14" i="1"/>
  <c r="V4" i="1"/>
  <c r="N4" i="1"/>
  <c r="O4" i="1"/>
  <c r="P4" i="1"/>
  <c r="Q4" i="1"/>
  <c r="R4" i="1"/>
  <c r="S4" i="1"/>
  <c r="T4" i="1"/>
  <c r="U4" i="1"/>
  <c r="N5" i="1"/>
  <c r="O5" i="1"/>
  <c r="P5" i="1"/>
  <c r="Q5" i="1"/>
  <c r="R5" i="1"/>
  <c r="S5" i="1"/>
  <c r="T5" i="1"/>
  <c r="U5" i="1"/>
  <c r="N6" i="1"/>
  <c r="O6" i="1"/>
  <c r="P6" i="1"/>
  <c r="Q6" i="1"/>
  <c r="R6" i="1"/>
  <c r="S6" i="1"/>
  <c r="T6" i="1"/>
  <c r="U6" i="1"/>
  <c r="N7" i="1"/>
  <c r="O7" i="1"/>
  <c r="P7" i="1"/>
  <c r="Q7" i="1"/>
  <c r="R7" i="1"/>
  <c r="S7" i="1"/>
  <c r="T7" i="1"/>
  <c r="U7" i="1"/>
  <c r="N8" i="1"/>
  <c r="O8" i="1"/>
  <c r="P8" i="1"/>
  <c r="Q8" i="1"/>
  <c r="R8" i="1"/>
  <c r="S8" i="1"/>
  <c r="T8" i="1"/>
  <c r="U8" i="1"/>
  <c r="N9" i="1"/>
  <c r="O9" i="1"/>
  <c r="P9" i="1"/>
  <c r="Q9" i="1"/>
  <c r="R9" i="1"/>
  <c r="S9" i="1"/>
  <c r="T9" i="1"/>
  <c r="U9" i="1"/>
  <c r="N10" i="1"/>
  <c r="O10" i="1"/>
  <c r="P10" i="1"/>
  <c r="Q10" i="1"/>
  <c r="R10" i="1"/>
  <c r="S10" i="1"/>
  <c r="T10" i="1"/>
  <c r="U10" i="1"/>
  <c r="N11" i="1"/>
  <c r="O11" i="1"/>
  <c r="P11" i="1"/>
  <c r="Q11" i="1"/>
  <c r="R11" i="1"/>
  <c r="S11" i="1"/>
  <c r="T11" i="1"/>
  <c r="U11" i="1"/>
  <c r="N12" i="1"/>
  <c r="O12" i="1"/>
  <c r="P12" i="1"/>
  <c r="Q12" i="1"/>
  <c r="R12" i="1"/>
  <c r="S12" i="1"/>
  <c r="T12" i="1"/>
  <c r="U12" i="1"/>
  <c r="N13" i="1"/>
  <c r="O13" i="1"/>
  <c r="P13" i="1"/>
  <c r="Q13" i="1"/>
  <c r="R13" i="1"/>
  <c r="S13" i="1"/>
  <c r="T13" i="1"/>
  <c r="U13" i="1"/>
  <c r="N14" i="1"/>
  <c r="O14" i="1"/>
  <c r="P14" i="1"/>
  <c r="Q14" i="1"/>
  <c r="R14" i="1"/>
  <c r="S14" i="1"/>
  <c r="T14" i="1"/>
  <c r="U14" i="1"/>
  <c r="M5" i="1"/>
  <c r="M6" i="1"/>
  <c r="M7" i="1"/>
  <c r="M8" i="1"/>
  <c r="M9" i="1"/>
  <c r="M10" i="1"/>
  <c r="M11" i="1"/>
  <c r="M12" i="1"/>
  <c r="M13" i="1"/>
  <c r="M14" i="1"/>
  <c r="M4" i="1"/>
</calcChain>
</file>

<file path=xl/sharedStrings.xml><?xml version="1.0" encoding="utf-8"?>
<sst xmlns="http://schemas.openxmlformats.org/spreadsheetml/2006/main" count="55" uniqueCount="46">
  <si>
    <t>Num</t>
  </si>
  <si>
    <t>TempC</t>
  </si>
  <si>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</si>
  <si>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</si>
  <si>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</si>
  <si>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</si>
  <si>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</si>
  <si>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</si>
  <si>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</si>
  <si>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</si>
  <si>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</si>
  <si>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molSiO2</t>
    <phoneticPr fontId="1"/>
  </si>
  <si>
    <t>molTiO2</t>
    <phoneticPr fontId="1"/>
  </si>
  <si>
    <t>molAl2O3</t>
    <phoneticPr fontId="1"/>
  </si>
  <si>
    <t>molFeO</t>
    <phoneticPr fontId="1"/>
  </si>
  <si>
    <t>molMnO</t>
    <phoneticPr fontId="1"/>
  </si>
  <si>
    <t>molMgO</t>
    <phoneticPr fontId="1"/>
  </si>
  <si>
    <t>molCaO</t>
    <phoneticPr fontId="1"/>
  </si>
  <si>
    <t>molNa2O</t>
    <phoneticPr fontId="1"/>
  </si>
  <si>
    <t>molK2O</t>
    <phoneticPr fontId="1"/>
  </si>
  <si>
    <t>molTotal</t>
    <phoneticPr fontId="1"/>
  </si>
  <si>
    <t>xSiO2</t>
    <phoneticPr fontId="1"/>
  </si>
  <si>
    <t>xTiO2</t>
    <phoneticPr fontId="1"/>
  </si>
  <si>
    <t>xAl2O3</t>
    <phoneticPr fontId="1"/>
  </si>
  <si>
    <t>xFeO</t>
    <phoneticPr fontId="1"/>
  </si>
  <si>
    <t>xMnO</t>
    <phoneticPr fontId="1"/>
  </si>
  <si>
    <t>xMgO</t>
    <phoneticPr fontId="1"/>
  </si>
  <si>
    <t>xCaO</t>
    <phoneticPr fontId="1"/>
  </si>
  <si>
    <t>xNa2O</t>
    <phoneticPr fontId="1"/>
  </si>
  <si>
    <t>xK2O</t>
    <phoneticPr fontId="1"/>
  </si>
  <si>
    <t>xTotal</t>
    <phoneticPr fontId="1"/>
  </si>
  <si>
    <t>ln(fO2)</t>
    <phoneticPr fontId="1"/>
  </si>
  <si>
    <t>TempK</t>
    <phoneticPr fontId="1"/>
  </si>
  <si>
    <t>ln(Fe2O3/FeO)</t>
    <phoneticPr fontId="1"/>
  </si>
  <si>
    <t>a</t>
    <phoneticPr fontId="1"/>
  </si>
  <si>
    <t>b</t>
    <phoneticPr fontId="1"/>
  </si>
  <si>
    <t>c</t>
    <phoneticPr fontId="1"/>
  </si>
  <si>
    <t>dSiO2</t>
    <phoneticPr fontId="1"/>
  </si>
  <si>
    <t>dAl2O3</t>
    <phoneticPr fontId="1"/>
  </si>
  <si>
    <t>dFeOt</t>
    <phoneticPr fontId="1"/>
  </si>
  <si>
    <t>dMgO</t>
    <phoneticPr fontId="1"/>
  </si>
  <si>
    <t>dCaO</t>
    <phoneticPr fontId="1"/>
  </si>
  <si>
    <t>dNa2O</t>
    <phoneticPr fontId="1"/>
  </si>
  <si>
    <t>dK2O</t>
    <phoneticPr fontId="1"/>
  </si>
  <si>
    <t>Fe2O3/FeO</t>
    <phoneticPr fontId="1"/>
  </si>
  <si>
    <t>Fe+3/Fe+2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</si>
</sst>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0F0B-9F90-48D1-84FA-9374B58B3103}">
  <dimension ref="A1:AR14"/>
  <sheetViews>
    <sheetView tabSelected="1" topLeftCell="X1" zoomScale="98" workbookViewId="0">
      <selection activeCell="AM6" sqref="AM6"/>
    </sheetView>
  </sheetViews>
  <sheetFormatPr defaultRowHeight="18" x14ac:dyDescent="0.45"/>
  <cols>
    <col min="12" max="12" width="3" customWidth="1"/>
    <col min="23" max="23" width="2.59765625" customWidth="1"/>
    <col min="33" max="33" width="7.19921875" customWidth="1"/>
    <col min="34" max="34" width="3.19921875" customWidth="1"/>
    <col min="35" max="35" width="8.19921875" customWidth="1"/>
    <col min="37" max="37" width="1.59765625" customWidth="1"/>
    <col min="38" max="38" width="6.59765625" customWidth="1"/>
    <col min="39" max="39" width="12.296875" customWidth="1"/>
    <col min="40" max="40" width="1.3984375" customWidth="1"/>
  </cols>
  <sheetData>
    <row r="1" spans="1:44" x14ac:dyDescent="0.45"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</row>
    <row r="2" spans="1:44" x14ac:dyDescent="0.45">
      <c r="M2">
        <v>60.084299999999999</v>
      </c>
      <c r="N2">
        <v>79.866</v>
      </c>
      <c r="O2">
        <v>101.96129999999999</v>
      </c>
      <c r="P2">
        <v>71.846400000000003</v>
      </c>
      <c r="Q2">
        <v>70.937399999999997</v>
      </c>
      <c r="R2">
        <v>40.304000000000002</v>
      </c>
      <c r="S2">
        <v>56.076999999999998</v>
      </c>
      <c r="T2">
        <v>61.978900000000003</v>
      </c>
      <c r="U2">
        <v>94.194999999999993</v>
      </c>
    </row>
    <row r="3" spans="1:44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X3" t="s">
        <v>21</v>
      </c>
      <c r="Y3" t="s">
        <v>22</v>
      </c>
      <c r="Z3" t="s">
        <v>23</v>
      </c>
      <c r="AA3" t="s">
        <v>24</v>
      </c>
      <c r="AB3" t="s">
        <v>25</v>
      </c>
      <c r="AC3" t="s">
        <v>26</v>
      </c>
      <c r="AD3" t="s">
        <v>27</v>
      </c>
      <c r="AE3" t="s">
        <v>28</v>
      </c>
      <c r="AF3" t="s">
        <v>29</v>
      </c>
      <c r="AG3" t="s">
        <v>30</v>
      </c>
      <c r="AI3" t="s">
        <v>32</v>
      </c>
      <c r="AJ3" t="s">
        <v>31</v>
      </c>
      <c r="AL3" t="s">
        <v>34</v>
      </c>
      <c r="AM3">
        <v>0.21812999999999999</v>
      </c>
      <c r="AO3" t="s">
        <v>33</v>
      </c>
      <c r="AP3" t="s">
        <v>44</v>
      </c>
      <c r="AQ3" t="s">
        <v>45</v>
      </c>
    </row>
    <row r="4" spans="1:44" x14ac:dyDescent="0.45">
      <c r="A4">
        <v>1</v>
      </c>
      <c r="B4">
        <v>1200</v>
      </c>
      <c r="C4">
        <v>51.1</v>
      </c>
      <c r="D4">
        <v>0.93</v>
      </c>
      <c r="E4">
        <v>17.5</v>
      </c>
      <c r="F4">
        <v>8.91</v>
      </c>
      <c r="G4">
        <v>0.18</v>
      </c>
      <c r="H4">
        <v>6.09</v>
      </c>
      <c r="I4">
        <v>11.5</v>
      </c>
      <c r="J4">
        <v>3.53</v>
      </c>
      <c r="K4">
        <v>0.17</v>
      </c>
      <c r="M4">
        <f>C4/M$2</f>
        <v>0.85047175385250395</v>
      </c>
      <c r="N4">
        <f t="shared" ref="N4:U14" si="0">D4/N$2</f>
        <v>1.1644504545113066E-2</v>
      </c>
      <c r="O4">
        <f t="shared" si="0"/>
        <v>0.17163374731393186</v>
      </c>
      <c r="P4">
        <f t="shared" si="0"/>
        <v>0.124014564404062</v>
      </c>
      <c r="Q4">
        <f t="shared" si="0"/>
        <v>2.5374485109406321E-3</v>
      </c>
      <c r="R4">
        <f t="shared" si="0"/>
        <v>0.15110162763001189</v>
      </c>
      <c r="S4">
        <f t="shared" si="0"/>
        <v>0.20507516450594718</v>
      </c>
      <c r="T4">
        <f t="shared" si="0"/>
        <v>5.6954866898250849E-2</v>
      </c>
      <c r="U4">
        <f t="shared" si="0"/>
        <v>1.8047667073623867E-3</v>
      </c>
      <c r="V4">
        <f>SUM(M4:U4)</f>
        <v>1.5752384443681238</v>
      </c>
      <c r="X4">
        <f>M4/$V4</f>
        <v>0.53990032867287852</v>
      </c>
      <c r="Y4">
        <f t="shared" ref="Y4:AF14" si="1">N4/$V4</f>
        <v>7.392217087352786E-3</v>
      </c>
      <c r="Z4">
        <f t="shared" si="1"/>
        <v>0.10895731241677471</v>
      </c>
      <c r="AA4">
        <f t="shared" si="1"/>
        <v>7.8727487160718729E-2</v>
      </c>
      <c r="AB4">
        <f t="shared" si="1"/>
        <v>1.6108345501677241E-3</v>
      </c>
      <c r="AC4">
        <f t="shared" si="1"/>
        <v>9.5923019254791853E-2</v>
      </c>
      <c r="AD4">
        <f t="shared" si="1"/>
        <v>0.13018674426030091</v>
      </c>
      <c r="AE4">
        <f t="shared" si="1"/>
        <v>3.6156346426078491E-2</v>
      </c>
      <c r="AF4">
        <f t="shared" si="1"/>
        <v>1.1457101709362698E-3</v>
      </c>
      <c r="AG4">
        <f>SUM(X4:AF4)</f>
        <v>1.0000000000000002</v>
      </c>
      <c r="AI4">
        <f>B4+273.15</f>
        <v>1473.15</v>
      </c>
      <c r="AJ4">
        <f>9.36-(24930/AI4)</f>
        <v>-7.5629202728846359</v>
      </c>
      <c r="AL4" t="s">
        <v>35</v>
      </c>
      <c r="AM4">
        <v>13184.7</v>
      </c>
      <c r="AO4">
        <f>$AM$3*AJ4+($AM$4/AI4)+$AM$5+($AM$6*$X4+$AM$7*$Z4+$AM$8*$AA4+$AM$9*$AC4+$AM$10*$AD4+$AM$11*$AE4+$AM$12*$AF4)</f>
        <v>-2.9749613157359356E-3</v>
      </c>
      <c r="AP4">
        <f>EXP(AO4)</f>
        <v>0.99702945949667721</v>
      </c>
      <c r="AQ4">
        <f>AP4*2</f>
        <v>1.9940589189933544</v>
      </c>
      <c r="AR4">
        <f>1/(1+2*AP4)</f>
        <v>0.33399476331488309</v>
      </c>
    </row>
    <row r="5" spans="1:44" x14ac:dyDescent="0.45">
      <c r="A5">
        <v>2</v>
      </c>
      <c r="B5">
        <v>1210</v>
      </c>
      <c r="C5">
        <v>51.1</v>
      </c>
      <c r="D5">
        <v>0.93</v>
      </c>
      <c r="E5">
        <v>17.5</v>
      </c>
      <c r="F5">
        <v>8.91</v>
      </c>
      <c r="G5">
        <v>0.18</v>
      </c>
      <c r="H5">
        <v>6.09</v>
      </c>
      <c r="I5">
        <v>11.5</v>
      </c>
      <c r="J5">
        <v>3.53</v>
      </c>
      <c r="K5">
        <v>0.17</v>
      </c>
      <c r="M5">
        <f t="shared" ref="M5:M14" si="2">C5/M$2</f>
        <v>0.85047175385250395</v>
      </c>
      <c r="N5">
        <f t="shared" si="0"/>
        <v>1.1644504545113066E-2</v>
      </c>
      <c r="O5">
        <f t="shared" si="0"/>
        <v>0.17163374731393186</v>
      </c>
      <c r="P5">
        <f t="shared" si="0"/>
        <v>0.124014564404062</v>
      </c>
      <c r="Q5">
        <f t="shared" si="0"/>
        <v>2.5374485109406321E-3</v>
      </c>
      <c r="R5">
        <f t="shared" si="0"/>
        <v>0.15110162763001189</v>
      </c>
      <c r="S5">
        <f t="shared" si="0"/>
        <v>0.20507516450594718</v>
      </c>
      <c r="T5">
        <f t="shared" si="0"/>
        <v>5.6954866898250849E-2</v>
      </c>
      <c r="U5">
        <f t="shared" si="0"/>
        <v>1.8047667073623867E-3</v>
      </c>
      <c r="V5">
        <f t="shared" ref="V5:V14" si="3">SUM(M5:U5)</f>
        <v>1.5752384443681238</v>
      </c>
      <c r="X5">
        <f t="shared" ref="X5:X14" si="4">M5/$V5</f>
        <v>0.53990032867287852</v>
      </c>
      <c r="Y5">
        <f t="shared" si="1"/>
        <v>7.392217087352786E-3</v>
      </c>
      <c r="Z5">
        <f t="shared" si="1"/>
        <v>0.10895731241677471</v>
      </c>
      <c r="AA5">
        <f t="shared" si="1"/>
        <v>7.8727487160718729E-2</v>
      </c>
      <c r="AB5">
        <f t="shared" si="1"/>
        <v>1.6108345501677241E-3</v>
      </c>
      <c r="AC5">
        <f t="shared" si="1"/>
        <v>9.5923019254791853E-2</v>
      </c>
      <c r="AD5">
        <f t="shared" si="1"/>
        <v>0.13018674426030091</v>
      </c>
      <c r="AE5">
        <f t="shared" si="1"/>
        <v>3.6156346426078491E-2</v>
      </c>
      <c r="AF5">
        <f t="shared" si="1"/>
        <v>1.1457101709362698E-3</v>
      </c>
      <c r="AG5">
        <f t="shared" ref="AG5:AG14" si="5">SUM(X5:AF5)</f>
        <v>1.0000000000000002</v>
      </c>
      <c r="AI5">
        <f t="shared" ref="AI5:AI14" si="6">B5+273.15</f>
        <v>1483.15</v>
      </c>
      <c r="AJ5">
        <f t="shared" ref="AJ5:AJ14" si="7">9.36-(24930/AI5)</f>
        <v>-7.4488190675252</v>
      </c>
      <c r="AL5" t="s">
        <v>36</v>
      </c>
      <c r="AM5">
        <v>-4.4993299999999996</v>
      </c>
      <c r="AO5">
        <f t="shared" ref="AO5:AO14" si="8">$AM$3*AJ5+($AM$4/AI5)+$AM$5+($AM$6*$X5+$AM$7*$Z5+$AM$8*$AA5+$AM$9*$AC5+$AM$10*$AD5+$AM$11*$AE5+$AM$12*$AF5)</f>
        <v>-3.8430636682400543E-2</v>
      </c>
      <c r="AP5">
        <f t="shared" ref="AP5:AP14" si="9">EXP(AO5)</f>
        <v>0.96229845063798936</v>
      </c>
      <c r="AQ5">
        <f t="shared" ref="AQ5:AQ14" si="10">AP5*2</f>
        <v>1.9245969012759787</v>
      </c>
      <c r="AR5">
        <f t="shared" ref="AR5:AR14" si="11">1/(1+2*AP5)</f>
        <v>0.34192746342708219</v>
      </c>
    </row>
    <row r="6" spans="1:44" x14ac:dyDescent="0.45">
      <c r="A6">
        <v>3</v>
      </c>
      <c r="B6">
        <v>1220</v>
      </c>
      <c r="C6">
        <v>51.1</v>
      </c>
      <c r="D6">
        <v>0.93</v>
      </c>
      <c r="E6">
        <v>17.5</v>
      </c>
      <c r="F6">
        <v>8.91</v>
      </c>
      <c r="G6">
        <v>0.18</v>
      </c>
      <c r="H6">
        <v>6.09</v>
      </c>
      <c r="I6">
        <v>11.5</v>
      </c>
      <c r="J6">
        <v>3.53</v>
      </c>
      <c r="K6">
        <v>0.17</v>
      </c>
      <c r="M6">
        <f t="shared" si="2"/>
        <v>0.85047175385250395</v>
      </c>
      <c r="N6">
        <f t="shared" si="0"/>
        <v>1.1644504545113066E-2</v>
      </c>
      <c r="O6">
        <f t="shared" si="0"/>
        <v>0.17163374731393186</v>
      </c>
      <c r="P6">
        <f t="shared" si="0"/>
        <v>0.124014564404062</v>
      </c>
      <c r="Q6">
        <f t="shared" si="0"/>
        <v>2.5374485109406321E-3</v>
      </c>
      <c r="R6">
        <f t="shared" si="0"/>
        <v>0.15110162763001189</v>
      </c>
      <c r="S6">
        <f t="shared" si="0"/>
        <v>0.20507516450594718</v>
      </c>
      <c r="T6">
        <f t="shared" si="0"/>
        <v>5.6954866898250849E-2</v>
      </c>
      <c r="U6">
        <f t="shared" si="0"/>
        <v>1.8047667073623867E-3</v>
      </c>
      <c r="V6">
        <f t="shared" si="3"/>
        <v>1.5752384443681238</v>
      </c>
      <c r="X6">
        <f t="shared" si="4"/>
        <v>0.53990032867287852</v>
      </c>
      <c r="Y6">
        <f t="shared" si="1"/>
        <v>7.392217087352786E-3</v>
      </c>
      <c r="Z6">
        <f t="shared" si="1"/>
        <v>0.10895731241677471</v>
      </c>
      <c r="AA6">
        <f t="shared" si="1"/>
        <v>7.8727487160718729E-2</v>
      </c>
      <c r="AB6">
        <f t="shared" si="1"/>
        <v>1.6108345501677241E-3</v>
      </c>
      <c r="AC6">
        <f t="shared" si="1"/>
        <v>9.5923019254791853E-2</v>
      </c>
      <c r="AD6">
        <f t="shared" si="1"/>
        <v>0.13018674426030091</v>
      </c>
      <c r="AE6">
        <f t="shared" si="1"/>
        <v>3.6156346426078491E-2</v>
      </c>
      <c r="AF6">
        <f t="shared" si="1"/>
        <v>1.1457101709362698E-3</v>
      </c>
      <c r="AG6">
        <f t="shared" si="5"/>
        <v>1.0000000000000002</v>
      </c>
      <c r="AI6">
        <f t="shared" si="6"/>
        <v>1493.15</v>
      </c>
      <c r="AJ6">
        <f t="shared" si="7"/>
        <v>-7.3362461909386205</v>
      </c>
      <c r="AL6" t="s">
        <v>37</v>
      </c>
      <c r="AM6">
        <v>-2.15036</v>
      </c>
      <c r="AO6">
        <f t="shared" si="8"/>
        <v>-7.3411400950158079E-2</v>
      </c>
      <c r="AP6">
        <f t="shared" si="9"/>
        <v>0.92921847001808044</v>
      </c>
      <c r="AQ6">
        <f t="shared" si="10"/>
        <v>1.8584369400361609</v>
      </c>
      <c r="AR6">
        <f t="shared" si="11"/>
        <v>0.34984154661370609</v>
      </c>
    </row>
    <row r="7" spans="1:44" x14ac:dyDescent="0.45">
      <c r="A7">
        <v>4</v>
      </c>
      <c r="B7">
        <v>1230</v>
      </c>
      <c r="C7">
        <v>51.1</v>
      </c>
      <c r="D7">
        <v>0.93</v>
      </c>
      <c r="E7">
        <v>17.5</v>
      </c>
      <c r="F7">
        <v>8.91</v>
      </c>
      <c r="G7">
        <v>0.18</v>
      </c>
      <c r="H7">
        <v>6.09</v>
      </c>
      <c r="I7">
        <v>11.5</v>
      </c>
      <c r="J7">
        <v>3.53</v>
      </c>
      <c r="K7">
        <v>0.17</v>
      </c>
      <c r="M7">
        <f t="shared" si="2"/>
        <v>0.85047175385250395</v>
      </c>
      <c r="N7">
        <f t="shared" si="0"/>
        <v>1.1644504545113066E-2</v>
      </c>
      <c r="O7">
        <f t="shared" si="0"/>
        <v>0.17163374731393186</v>
      </c>
      <c r="P7">
        <f t="shared" si="0"/>
        <v>0.124014564404062</v>
      </c>
      <c r="Q7">
        <f t="shared" si="0"/>
        <v>2.5374485109406321E-3</v>
      </c>
      <c r="R7">
        <f t="shared" si="0"/>
        <v>0.15110162763001189</v>
      </c>
      <c r="S7">
        <f t="shared" si="0"/>
        <v>0.20507516450594718</v>
      </c>
      <c r="T7">
        <f t="shared" si="0"/>
        <v>5.6954866898250849E-2</v>
      </c>
      <c r="U7">
        <f t="shared" si="0"/>
        <v>1.8047667073623867E-3</v>
      </c>
      <c r="V7">
        <f t="shared" si="3"/>
        <v>1.5752384443681238</v>
      </c>
      <c r="X7">
        <f t="shared" si="4"/>
        <v>0.53990032867287852</v>
      </c>
      <c r="Y7">
        <f t="shared" si="1"/>
        <v>7.392217087352786E-3</v>
      </c>
      <c r="Z7">
        <f t="shared" si="1"/>
        <v>0.10895731241677471</v>
      </c>
      <c r="AA7">
        <f t="shared" si="1"/>
        <v>7.8727487160718729E-2</v>
      </c>
      <c r="AB7">
        <f t="shared" si="1"/>
        <v>1.6108345501677241E-3</v>
      </c>
      <c r="AC7">
        <f t="shared" si="1"/>
        <v>9.5923019254791853E-2</v>
      </c>
      <c r="AD7">
        <f t="shared" si="1"/>
        <v>0.13018674426030091</v>
      </c>
      <c r="AE7">
        <f t="shared" si="1"/>
        <v>3.6156346426078491E-2</v>
      </c>
      <c r="AF7">
        <f t="shared" si="1"/>
        <v>1.1457101709362698E-3</v>
      </c>
      <c r="AG7">
        <f t="shared" si="5"/>
        <v>1.0000000000000002</v>
      </c>
      <c r="AI7">
        <f t="shared" si="6"/>
        <v>1503.15</v>
      </c>
      <c r="AJ7">
        <f t="shared" si="7"/>
        <v>-7.2251711406047292</v>
      </c>
      <c r="AL7" t="s">
        <v>38</v>
      </c>
      <c r="AM7">
        <v>-8.3516300000000001</v>
      </c>
      <c r="AO7">
        <f t="shared" si="8"/>
        <v>-0.10792673243651896</v>
      </c>
      <c r="AP7">
        <f t="shared" si="9"/>
        <v>0.89769336582669101</v>
      </c>
      <c r="AQ7">
        <f t="shared" si="10"/>
        <v>1.795386731653382</v>
      </c>
      <c r="AR7">
        <f t="shared" si="11"/>
        <v>0.35773225531786507</v>
      </c>
    </row>
    <row r="8" spans="1:44" x14ac:dyDescent="0.45">
      <c r="A8">
        <v>5</v>
      </c>
      <c r="B8">
        <v>1240</v>
      </c>
      <c r="C8">
        <v>51.1</v>
      </c>
      <c r="D8">
        <v>0.93</v>
      </c>
      <c r="E8">
        <v>17.5</v>
      </c>
      <c r="F8">
        <v>8.91</v>
      </c>
      <c r="G8">
        <v>0.18</v>
      </c>
      <c r="H8">
        <v>6.09</v>
      </c>
      <c r="I8">
        <v>11.5</v>
      </c>
      <c r="J8">
        <v>3.53</v>
      </c>
      <c r="K8">
        <v>0.17</v>
      </c>
      <c r="M8">
        <f t="shared" si="2"/>
        <v>0.85047175385250395</v>
      </c>
      <c r="N8">
        <f t="shared" si="0"/>
        <v>1.1644504545113066E-2</v>
      </c>
      <c r="O8">
        <f t="shared" si="0"/>
        <v>0.17163374731393186</v>
      </c>
      <c r="P8">
        <f t="shared" si="0"/>
        <v>0.124014564404062</v>
      </c>
      <c r="Q8">
        <f t="shared" si="0"/>
        <v>2.5374485109406321E-3</v>
      </c>
      <c r="R8">
        <f t="shared" si="0"/>
        <v>0.15110162763001189</v>
      </c>
      <c r="S8">
        <f t="shared" si="0"/>
        <v>0.20507516450594718</v>
      </c>
      <c r="T8">
        <f t="shared" si="0"/>
        <v>5.6954866898250849E-2</v>
      </c>
      <c r="U8">
        <f t="shared" si="0"/>
        <v>1.8047667073623867E-3</v>
      </c>
      <c r="V8">
        <f t="shared" si="3"/>
        <v>1.5752384443681238</v>
      </c>
      <c r="X8">
        <f t="shared" si="4"/>
        <v>0.53990032867287852</v>
      </c>
      <c r="Y8">
        <f t="shared" si="1"/>
        <v>7.392217087352786E-3</v>
      </c>
      <c r="Z8">
        <f t="shared" si="1"/>
        <v>0.10895731241677471</v>
      </c>
      <c r="AA8">
        <f t="shared" si="1"/>
        <v>7.8727487160718729E-2</v>
      </c>
      <c r="AB8">
        <f t="shared" si="1"/>
        <v>1.6108345501677241E-3</v>
      </c>
      <c r="AC8">
        <f t="shared" si="1"/>
        <v>9.5923019254791853E-2</v>
      </c>
      <c r="AD8">
        <f t="shared" si="1"/>
        <v>0.13018674426030091</v>
      </c>
      <c r="AE8">
        <f t="shared" si="1"/>
        <v>3.6156346426078491E-2</v>
      </c>
      <c r="AF8">
        <f t="shared" si="1"/>
        <v>1.1457101709362698E-3</v>
      </c>
      <c r="AG8">
        <f t="shared" si="5"/>
        <v>1.0000000000000002</v>
      </c>
      <c r="AI8">
        <f t="shared" si="6"/>
        <v>1513.15</v>
      </c>
      <c r="AJ8">
        <f t="shared" si="7"/>
        <v>-7.1155642203350631</v>
      </c>
      <c r="AL8" t="s">
        <v>39</v>
      </c>
      <c r="AM8">
        <v>-4.4950799999999997</v>
      </c>
      <c r="AO8">
        <f t="shared" si="8"/>
        <v>-0.14198585890042681</v>
      </c>
      <c r="AP8">
        <f t="shared" si="9"/>
        <v>0.86763352569124363</v>
      </c>
      <c r="AQ8">
        <f t="shared" si="10"/>
        <v>1.7352670513824873</v>
      </c>
      <c r="AR8">
        <f t="shared" si="11"/>
        <v>0.36559501548288298</v>
      </c>
    </row>
    <row r="9" spans="1:44" x14ac:dyDescent="0.45">
      <c r="A9">
        <v>6</v>
      </c>
      <c r="B9">
        <v>1250</v>
      </c>
      <c r="C9">
        <v>51.1</v>
      </c>
      <c r="D9">
        <v>0.93</v>
      </c>
      <c r="E9">
        <v>17.5</v>
      </c>
      <c r="F9">
        <v>8.91</v>
      </c>
      <c r="G9">
        <v>0.18</v>
      </c>
      <c r="H9">
        <v>6.09</v>
      </c>
      <c r="I9">
        <v>11.5</v>
      </c>
      <c r="J9">
        <v>3.53</v>
      </c>
      <c r="K9">
        <v>0.17</v>
      </c>
      <c r="M9">
        <f t="shared" si="2"/>
        <v>0.85047175385250395</v>
      </c>
      <c r="N9">
        <f t="shared" si="0"/>
        <v>1.1644504545113066E-2</v>
      </c>
      <c r="O9">
        <f t="shared" si="0"/>
        <v>0.17163374731393186</v>
      </c>
      <c r="P9">
        <f t="shared" si="0"/>
        <v>0.124014564404062</v>
      </c>
      <c r="Q9">
        <f t="shared" si="0"/>
        <v>2.5374485109406321E-3</v>
      </c>
      <c r="R9">
        <f t="shared" si="0"/>
        <v>0.15110162763001189</v>
      </c>
      <c r="S9">
        <f t="shared" si="0"/>
        <v>0.20507516450594718</v>
      </c>
      <c r="T9">
        <f t="shared" si="0"/>
        <v>5.6954866898250849E-2</v>
      </c>
      <c r="U9">
        <f t="shared" si="0"/>
        <v>1.8047667073623867E-3</v>
      </c>
      <c r="V9">
        <f t="shared" si="3"/>
        <v>1.5752384443681238</v>
      </c>
      <c r="X9">
        <f t="shared" si="4"/>
        <v>0.53990032867287852</v>
      </c>
      <c r="Y9">
        <f t="shared" si="1"/>
        <v>7.392217087352786E-3</v>
      </c>
      <c r="Z9">
        <f t="shared" si="1"/>
        <v>0.10895731241677471</v>
      </c>
      <c r="AA9">
        <f t="shared" si="1"/>
        <v>7.8727487160718729E-2</v>
      </c>
      <c r="AB9">
        <f t="shared" si="1"/>
        <v>1.6108345501677241E-3</v>
      </c>
      <c r="AC9">
        <f t="shared" si="1"/>
        <v>9.5923019254791853E-2</v>
      </c>
      <c r="AD9">
        <f t="shared" si="1"/>
        <v>0.13018674426030091</v>
      </c>
      <c r="AE9">
        <f t="shared" si="1"/>
        <v>3.6156346426078491E-2</v>
      </c>
      <c r="AF9">
        <f t="shared" si="1"/>
        <v>1.1457101709362698E-3</v>
      </c>
      <c r="AG9">
        <f t="shared" si="5"/>
        <v>1.0000000000000002</v>
      </c>
      <c r="AI9">
        <f t="shared" si="6"/>
        <v>1523.15</v>
      </c>
      <c r="AJ9">
        <f t="shared" si="7"/>
        <v>-7.0073965138036307</v>
      </c>
      <c r="AL9" t="s">
        <v>40</v>
      </c>
      <c r="AM9">
        <v>-5.4363900000000003</v>
      </c>
      <c r="AO9">
        <f t="shared" si="8"/>
        <v>-0.17559776576726316</v>
      </c>
      <c r="AP9">
        <f t="shared" si="9"/>
        <v>0.83895537204825665</v>
      </c>
      <c r="AQ9">
        <f t="shared" si="10"/>
        <v>1.6779107440965133</v>
      </c>
      <c r="AR9">
        <f t="shared" si="11"/>
        <v>0.37342544078607259</v>
      </c>
    </row>
    <row r="10" spans="1:44" x14ac:dyDescent="0.45">
      <c r="A10">
        <v>7</v>
      </c>
      <c r="B10">
        <v>1260</v>
      </c>
      <c r="C10">
        <v>51.1</v>
      </c>
      <c r="D10">
        <v>0.93</v>
      </c>
      <c r="E10">
        <v>17.5</v>
      </c>
      <c r="F10">
        <v>8.91</v>
      </c>
      <c r="G10">
        <v>0.18</v>
      </c>
      <c r="H10">
        <v>6.09</v>
      </c>
      <c r="I10">
        <v>11.5</v>
      </c>
      <c r="J10">
        <v>3.53</v>
      </c>
      <c r="K10">
        <v>0.17</v>
      </c>
      <c r="M10">
        <f t="shared" si="2"/>
        <v>0.85047175385250395</v>
      </c>
      <c r="N10">
        <f t="shared" si="0"/>
        <v>1.1644504545113066E-2</v>
      </c>
      <c r="O10">
        <f t="shared" si="0"/>
        <v>0.17163374731393186</v>
      </c>
      <c r="P10">
        <f t="shared" si="0"/>
        <v>0.124014564404062</v>
      </c>
      <c r="Q10">
        <f t="shared" si="0"/>
        <v>2.5374485109406321E-3</v>
      </c>
      <c r="R10">
        <f t="shared" si="0"/>
        <v>0.15110162763001189</v>
      </c>
      <c r="S10">
        <f t="shared" si="0"/>
        <v>0.20507516450594718</v>
      </c>
      <c r="T10">
        <f t="shared" si="0"/>
        <v>5.6954866898250849E-2</v>
      </c>
      <c r="U10">
        <f t="shared" si="0"/>
        <v>1.8047667073623867E-3</v>
      </c>
      <c r="V10">
        <f t="shared" si="3"/>
        <v>1.5752384443681238</v>
      </c>
      <c r="X10">
        <f t="shared" si="4"/>
        <v>0.53990032867287852</v>
      </c>
      <c r="Y10">
        <f t="shared" si="1"/>
        <v>7.392217087352786E-3</v>
      </c>
      <c r="Z10">
        <f t="shared" si="1"/>
        <v>0.10895731241677471</v>
      </c>
      <c r="AA10">
        <f t="shared" si="1"/>
        <v>7.8727487160718729E-2</v>
      </c>
      <c r="AB10">
        <f t="shared" si="1"/>
        <v>1.6108345501677241E-3</v>
      </c>
      <c r="AC10">
        <f t="shared" si="1"/>
        <v>9.5923019254791853E-2</v>
      </c>
      <c r="AD10">
        <f t="shared" si="1"/>
        <v>0.13018674426030091</v>
      </c>
      <c r="AE10">
        <f t="shared" si="1"/>
        <v>3.6156346426078491E-2</v>
      </c>
      <c r="AF10">
        <f t="shared" si="1"/>
        <v>1.1457101709362698E-3</v>
      </c>
      <c r="AG10">
        <f t="shared" si="5"/>
        <v>1.0000000000000002</v>
      </c>
      <c r="AI10">
        <f t="shared" si="6"/>
        <v>1533.15</v>
      </c>
      <c r="AJ10">
        <f t="shared" si="7"/>
        <v>-6.9006398591135891</v>
      </c>
      <c r="AL10" t="s">
        <v>41</v>
      </c>
      <c r="AM10">
        <v>7.3112999999999997E-2</v>
      </c>
      <c r="AO10">
        <f t="shared" si="8"/>
        <v>-0.20877120403198335</v>
      </c>
      <c r="AP10">
        <f t="shared" si="9"/>
        <v>0.81158090084070889</v>
      </c>
      <c r="AQ10">
        <f t="shared" si="10"/>
        <v>1.6231618016814178</v>
      </c>
      <c r="AR10">
        <f t="shared" si="11"/>
        <v>0.3812193359018155</v>
      </c>
    </row>
    <row r="11" spans="1:44" x14ac:dyDescent="0.45">
      <c r="A11">
        <v>8</v>
      </c>
      <c r="B11">
        <v>1270</v>
      </c>
      <c r="C11">
        <v>51.1</v>
      </c>
      <c r="D11">
        <v>0.93</v>
      </c>
      <c r="E11">
        <v>17.5</v>
      </c>
      <c r="F11">
        <v>8.91</v>
      </c>
      <c r="G11">
        <v>0.18</v>
      </c>
      <c r="H11">
        <v>6.09</v>
      </c>
      <c r="I11">
        <v>11.5</v>
      </c>
      <c r="J11">
        <v>3.53</v>
      </c>
      <c r="K11">
        <v>0.17</v>
      </c>
      <c r="M11">
        <f t="shared" si="2"/>
        <v>0.85047175385250395</v>
      </c>
      <c r="N11">
        <f t="shared" si="0"/>
        <v>1.1644504545113066E-2</v>
      </c>
      <c r="O11">
        <f t="shared" si="0"/>
        <v>0.17163374731393186</v>
      </c>
      <c r="P11">
        <f t="shared" si="0"/>
        <v>0.124014564404062</v>
      </c>
      <c r="Q11">
        <f t="shared" si="0"/>
        <v>2.5374485109406321E-3</v>
      </c>
      <c r="R11">
        <f t="shared" si="0"/>
        <v>0.15110162763001189</v>
      </c>
      <c r="S11">
        <f t="shared" si="0"/>
        <v>0.20507516450594718</v>
      </c>
      <c r="T11">
        <f t="shared" si="0"/>
        <v>5.6954866898250849E-2</v>
      </c>
      <c r="U11">
        <f t="shared" si="0"/>
        <v>1.8047667073623867E-3</v>
      </c>
      <c r="V11">
        <f t="shared" si="3"/>
        <v>1.5752384443681238</v>
      </c>
      <c r="X11">
        <f t="shared" si="4"/>
        <v>0.53990032867287852</v>
      </c>
      <c r="Y11">
        <f t="shared" si="1"/>
        <v>7.392217087352786E-3</v>
      </c>
      <c r="Z11">
        <f t="shared" si="1"/>
        <v>0.10895731241677471</v>
      </c>
      <c r="AA11">
        <f t="shared" si="1"/>
        <v>7.8727487160718729E-2</v>
      </c>
      <c r="AB11">
        <f t="shared" si="1"/>
        <v>1.6108345501677241E-3</v>
      </c>
      <c r="AC11">
        <f t="shared" si="1"/>
        <v>9.5923019254791853E-2</v>
      </c>
      <c r="AD11">
        <f t="shared" si="1"/>
        <v>0.13018674426030091</v>
      </c>
      <c r="AE11">
        <f t="shared" si="1"/>
        <v>3.6156346426078491E-2</v>
      </c>
      <c r="AF11">
        <f t="shared" si="1"/>
        <v>1.1457101709362698E-3</v>
      </c>
      <c r="AG11">
        <f t="shared" si="5"/>
        <v>1.0000000000000002</v>
      </c>
      <c r="AI11">
        <f t="shared" si="6"/>
        <v>1543.15</v>
      </c>
      <c r="AJ11">
        <f t="shared" si="7"/>
        <v>-6.7952668243527832</v>
      </c>
      <c r="AL11" t="s">
        <v>42</v>
      </c>
      <c r="AM11">
        <v>3.54148</v>
      </c>
      <c r="AO11">
        <f t="shared" si="8"/>
        <v>-0.24151469785494628</v>
      </c>
      <c r="AP11">
        <f t="shared" si="9"/>
        <v>0.78543725946123777</v>
      </c>
      <c r="AQ11">
        <f t="shared" si="10"/>
        <v>1.5708745189224755</v>
      </c>
      <c r="AR11">
        <f t="shared" si="11"/>
        <v>0.38897269883834223</v>
      </c>
    </row>
    <row r="12" spans="1:44" x14ac:dyDescent="0.45">
      <c r="A12">
        <v>9</v>
      </c>
      <c r="B12">
        <v>1280</v>
      </c>
      <c r="C12">
        <v>51.1</v>
      </c>
      <c r="D12">
        <v>0.93</v>
      </c>
      <c r="E12">
        <v>17.5</v>
      </c>
      <c r="F12">
        <v>8.91</v>
      </c>
      <c r="G12">
        <v>0.18</v>
      </c>
      <c r="H12">
        <v>6.09</v>
      </c>
      <c r="I12">
        <v>11.5</v>
      </c>
      <c r="J12">
        <v>3.53</v>
      </c>
      <c r="K12">
        <v>0.17</v>
      </c>
      <c r="M12">
        <f t="shared" si="2"/>
        <v>0.85047175385250395</v>
      </c>
      <c r="N12">
        <f t="shared" si="0"/>
        <v>1.1644504545113066E-2</v>
      </c>
      <c r="O12">
        <f t="shared" si="0"/>
        <v>0.17163374731393186</v>
      </c>
      <c r="P12">
        <f t="shared" si="0"/>
        <v>0.124014564404062</v>
      </c>
      <c r="Q12">
        <f t="shared" si="0"/>
        <v>2.5374485109406321E-3</v>
      </c>
      <c r="R12">
        <f t="shared" si="0"/>
        <v>0.15110162763001189</v>
      </c>
      <c r="S12">
        <f t="shared" si="0"/>
        <v>0.20507516450594718</v>
      </c>
      <c r="T12">
        <f t="shared" si="0"/>
        <v>5.6954866898250849E-2</v>
      </c>
      <c r="U12">
        <f t="shared" si="0"/>
        <v>1.8047667073623867E-3</v>
      </c>
      <c r="V12">
        <f t="shared" si="3"/>
        <v>1.5752384443681238</v>
      </c>
      <c r="X12">
        <f t="shared" si="4"/>
        <v>0.53990032867287852</v>
      </c>
      <c r="Y12">
        <f t="shared" si="1"/>
        <v>7.392217087352786E-3</v>
      </c>
      <c r="Z12">
        <f t="shared" si="1"/>
        <v>0.10895731241677471</v>
      </c>
      <c r="AA12">
        <f t="shared" si="1"/>
        <v>7.8727487160718729E-2</v>
      </c>
      <c r="AB12">
        <f t="shared" si="1"/>
        <v>1.6108345501677241E-3</v>
      </c>
      <c r="AC12">
        <f t="shared" si="1"/>
        <v>9.5923019254791853E-2</v>
      </c>
      <c r="AD12">
        <f t="shared" si="1"/>
        <v>0.13018674426030091</v>
      </c>
      <c r="AE12">
        <f t="shared" si="1"/>
        <v>3.6156346426078491E-2</v>
      </c>
      <c r="AF12">
        <f t="shared" si="1"/>
        <v>1.1457101709362698E-3</v>
      </c>
      <c r="AG12">
        <f t="shared" si="5"/>
        <v>1.0000000000000002</v>
      </c>
      <c r="AI12">
        <f t="shared" si="6"/>
        <v>1553.15</v>
      </c>
      <c r="AJ12">
        <f t="shared" si="7"/>
        <v>-6.6912506840936175</v>
      </c>
      <c r="AL12" t="s">
        <v>43</v>
      </c>
      <c r="AM12">
        <v>4.1868800000000004</v>
      </c>
      <c r="AO12">
        <f t="shared" si="8"/>
        <v>-0.27383655186433264</v>
      </c>
      <c r="AP12">
        <f t="shared" si="9"/>
        <v>0.760456360277872</v>
      </c>
      <c r="AQ12">
        <f t="shared" si="10"/>
        <v>1.520912720555744</v>
      </c>
      <c r="AR12">
        <f t="shared" si="11"/>
        <v>0.39668172239598465</v>
      </c>
    </row>
    <row r="13" spans="1:44" x14ac:dyDescent="0.45">
      <c r="A13">
        <v>10</v>
      </c>
      <c r="B13">
        <v>1290</v>
      </c>
      <c r="C13">
        <v>51.1</v>
      </c>
      <c r="D13">
        <v>0.93</v>
      </c>
      <c r="E13">
        <v>17.5</v>
      </c>
      <c r="F13">
        <v>8.91</v>
      </c>
      <c r="G13">
        <v>0.18</v>
      </c>
      <c r="H13">
        <v>6.09</v>
      </c>
      <c r="I13">
        <v>11.5</v>
      </c>
      <c r="J13">
        <v>3.53</v>
      </c>
      <c r="K13">
        <v>0.17</v>
      </c>
      <c r="M13">
        <f t="shared" si="2"/>
        <v>0.85047175385250395</v>
      </c>
      <c r="N13">
        <f t="shared" si="0"/>
        <v>1.1644504545113066E-2</v>
      </c>
      <c r="O13">
        <f t="shared" si="0"/>
        <v>0.17163374731393186</v>
      </c>
      <c r="P13">
        <f t="shared" si="0"/>
        <v>0.124014564404062</v>
      </c>
      <c r="Q13">
        <f t="shared" si="0"/>
        <v>2.5374485109406321E-3</v>
      </c>
      <c r="R13">
        <f t="shared" si="0"/>
        <v>0.15110162763001189</v>
      </c>
      <c r="S13">
        <f t="shared" si="0"/>
        <v>0.20507516450594718</v>
      </c>
      <c r="T13">
        <f t="shared" si="0"/>
        <v>5.6954866898250849E-2</v>
      </c>
      <c r="U13">
        <f t="shared" si="0"/>
        <v>1.8047667073623867E-3</v>
      </c>
      <c r="V13">
        <f t="shared" si="3"/>
        <v>1.5752384443681238</v>
      </c>
      <c r="X13">
        <f t="shared" si="4"/>
        <v>0.53990032867287852</v>
      </c>
      <c r="Y13">
        <f t="shared" si="1"/>
        <v>7.392217087352786E-3</v>
      </c>
      <c r="Z13">
        <f t="shared" si="1"/>
        <v>0.10895731241677471</v>
      </c>
      <c r="AA13">
        <f t="shared" si="1"/>
        <v>7.8727487160718729E-2</v>
      </c>
      <c r="AB13">
        <f t="shared" si="1"/>
        <v>1.6108345501677241E-3</v>
      </c>
      <c r="AC13">
        <f t="shared" si="1"/>
        <v>9.5923019254791853E-2</v>
      </c>
      <c r="AD13">
        <f t="shared" si="1"/>
        <v>0.13018674426030091</v>
      </c>
      <c r="AE13">
        <f t="shared" si="1"/>
        <v>3.6156346426078491E-2</v>
      </c>
      <c r="AF13">
        <f t="shared" si="1"/>
        <v>1.1457101709362698E-3</v>
      </c>
      <c r="AG13">
        <f t="shared" si="5"/>
        <v>1.0000000000000002</v>
      </c>
      <c r="AI13">
        <f t="shared" si="6"/>
        <v>1563.15</v>
      </c>
      <c r="AJ13">
        <f t="shared" si="7"/>
        <v>-6.5885653967949338</v>
      </c>
      <c r="AO13">
        <f t="shared" si="8"/>
        <v>-0.30574485817823982</v>
      </c>
      <c r="AP13">
        <f t="shared" si="9"/>
        <v>0.73657452645015498</v>
      </c>
      <c r="AQ13">
        <f t="shared" si="10"/>
        <v>1.47314905290031</v>
      </c>
      <c r="AR13">
        <f t="shared" si="11"/>
        <v>0.40434279479729718</v>
      </c>
    </row>
    <row r="14" spans="1:44" x14ac:dyDescent="0.45">
      <c r="A14">
        <v>11</v>
      </c>
      <c r="B14">
        <v>1300</v>
      </c>
      <c r="C14">
        <v>51.1</v>
      </c>
      <c r="D14">
        <v>0.93</v>
      </c>
      <c r="E14">
        <v>17.5</v>
      </c>
      <c r="F14">
        <v>8.91</v>
      </c>
      <c r="G14">
        <v>0.18</v>
      </c>
      <c r="H14">
        <v>6.09</v>
      </c>
      <c r="I14">
        <v>11.5</v>
      </c>
      <c r="J14">
        <v>3.53</v>
      </c>
      <c r="K14">
        <v>0.17</v>
      </c>
      <c r="M14">
        <f t="shared" si="2"/>
        <v>0.85047175385250395</v>
      </c>
      <c r="N14">
        <f t="shared" si="0"/>
        <v>1.1644504545113066E-2</v>
      </c>
      <c r="O14">
        <f t="shared" si="0"/>
        <v>0.17163374731393186</v>
      </c>
      <c r="P14">
        <f t="shared" si="0"/>
        <v>0.124014564404062</v>
      </c>
      <c r="Q14">
        <f t="shared" si="0"/>
        <v>2.5374485109406321E-3</v>
      </c>
      <c r="R14">
        <f t="shared" si="0"/>
        <v>0.15110162763001189</v>
      </c>
      <c r="S14">
        <f t="shared" si="0"/>
        <v>0.20507516450594718</v>
      </c>
      <c r="T14">
        <f t="shared" si="0"/>
        <v>5.6954866898250849E-2</v>
      </c>
      <c r="U14">
        <f t="shared" si="0"/>
        <v>1.8047667073623867E-3</v>
      </c>
      <c r="V14">
        <f t="shared" si="3"/>
        <v>1.5752384443681238</v>
      </c>
      <c r="X14">
        <f t="shared" si="4"/>
        <v>0.53990032867287852</v>
      </c>
      <c r="Y14">
        <f t="shared" si="1"/>
        <v>7.392217087352786E-3</v>
      </c>
      <c r="Z14">
        <f t="shared" si="1"/>
        <v>0.10895731241677471</v>
      </c>
      <c r="AA14">
        <f t="shared" si="1"/>
        <v>7.8727487160718729E-2</v>
      </c>
      <c r="AB14">
        <f t="shared" si="1"/>
        <v>1.6108345501677241E-3</v>
      </c>
      <c r="AC14">
        <f t="shared" si="1"/>
        <v>9.5923019254791853E-2</v>
      </c>
      <c r="AD14">
        <f t="shared" si="1"/>
        <v>0.13018674426030091</v>
      </c>
      <c r="AE14">
        <f t="shared" si="1"/>
        <v>3.6156346426078491E-2</v>
      </c>
      <c r="AF14">
        <f t="shared" si="1"/>
        <v>1.1457101709362698E-3</v>
      </c>
      <c r="AG14">
        <f t="shared" si="5"/>
        <v>1.0000000000000002</v>
      </c>
      <c r="AI14">
        <f t="shared" si="6"/>
        <v>1573.15</v>
      </c>
      <c r="AJ14">
        <f t="shared" si="7"/>
        <v>-6.4871855830658234</v>
      </c>
      <c r="AO14">
        <f t="shared" si="8"/>
        <v>-0.337247503158975</v>
      </c>
      <c r="AP14">
        <f t="shared" si="9"/>
        <v>0.7137321670740675</v>
      </c>
      <c r="AQ14">
        <f t="shared" si="10"/>
        <v>1.427464334148135</v>
      </c>
      <c r="AR14">
        <f t="shared" si="11"/>
        <v>0.41195249954143115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Motohiro Sato</dc:creator>
  <cp:lastModifiedBy>Motohiro Sato</cp:lastModifiedBy>
  <dcterms:created xsi:type="dcterms:W3CDTF">2020-09-14T09:02:16Z</dcterms:created>
  <dcterms:modified xsi:type="dcterms:W3CDTF">2020-09-14T09:21:11Z</dcterms:modified>
</cp:coreProperties>
</file>